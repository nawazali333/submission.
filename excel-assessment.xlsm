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nawaz\Downloads\"/>
    </mc:Choice>
  </mc:AlternateContent>
  <bookViews>
    <workbookView xWindow="0" yWindow="495" windowWidth="29400" windowHeight="16305" tabRatio="849" activeTab="1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8"/>
  <definedNames>
    <definedName name="_xlnm._FilterDatabase" localSheetId="1" hidden="1">Dataset!$A$1:$W$40</definedName>
    <definedName name="_xlnm._FilterDatabase" localSheetId="4" hidden="1">Task_3!$A$16:$A$54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/>
</workbook>
</file>

<file path=xl/calcChain.xml><?xml version="1.0" encoding="utf-8"?>
<calcChain xmlns="http://schemas.openxmlformats.org/spreadsheetml/2006/main">
  <c r="C22" i="19" l="1"/>
  <c r="C13" i="19"/>
  <c r="C21" i="19"/>
  <c r="C19" i="19"/>
  <c r="C15" i="19"/>
  <c r="F30" i="18"/>
  <c r="F29" i="18"/>
  <c r="F28" i="18"/>
  <c r="E30" i="18"/>
  <c r="E29" i="18"/>
  <c r="E28" i="18"/>
  <c r="D30" i="18"/>
  <c r="D29" i="18"/>
  <c r="D28" i="18"/>
  <c r="C30" i="18"/>
  <c r="C29" i="18"/>
  <c r="C28" i="18"/>
  <c r="B30" i="18"/>
  <c r="B29" i="18"/>
  <c r="B28" i="18"/>
  <c r="F27" i="18"/>
  <c r="E27" i="18"/>
  <c r="D27" i="18"/>
  <c r="C27" i="18"/>
  <c r="B27" i="18"/>
  <c r="F26" i="18"/>
  <c r="E26" i="18"/>
  <c r="D26" i="18"/>
  <c r="C26" i="18"/>
  <c r="B26" i="18"/>
  <c r="F25" i="18"/>
  <c r="D25" i="18"/>
  <c r="C25" i="18"/>
  <c r="B25" i="18"/>
  <c r="B24" i="18"/>
  <c r="E25" i="18"/>
  <c r="F24" i="18"/>
  <c r="E24" i="18"/>
  <c r="D24" i="18"/>
  <c r="C24" i="18"/>
  <c r="F23" i="18"/>
  <c r="E23" i="18"/>
  <c r="D23" i="18"/>
  <c r="C23" i="18"/>
  <c r="B23" i="18"/>
  <c r="F22" i="18"/>
  <c r="E22" i="18"/>
  <c r="D22" i="18"/>
  <c r="C22" i="18"/>
  <c r="B22" i="18"/>
  <c r="B21" i="18"/>
  <c r="F21" i="18"/>
  <c r="E21" i="18"/>
  <c r="D21" i="18"/>
  <c r="C21" i="18"/>
  <c r="F20" i="18"/>
  <c r="E20" i="18"/>
  <c r="D20" i="18"/>
  <c r="C20" i="18"/>
  <c r="B20" i="18"/>
  <c r="F19" i="18"/>
  <c r="E19" i="18"/>
  <c r="D19" i="18"/>
  <c r="C19" i="18"/>
  <c r="B19" i="18"/>
  <c r="F18" i="18"/>
  <c r="E18" i="18"/>
  <c r="D18" i="18"/>
  <c r="C18" i="18"/>
  <c r="B18" i="18"/>
  <c r="F17" i="18"/>
  <c r="E17" i="18"/>
  <c r="D17" i="18"/>
  <c r="C17" i="18"/>
  <c r="B17" i="18"/>
  <c r="F16" i="18"/>
  <c r="E16" i="18"/>
  <c r="D16" i="18"/>
  <c r="C16" i="18"/>
  <c r="B16" i="18"/>
  <c r="B15" i="18"/>
  <c r="F15" i="18"/>
  <c r="E15" i="18"/>
  <c r="D15" i="18"/>
  <c r="C15" i="18"/>
  <c r="F14" i="18"/>
  <c r="E14" i="18"/>
  <c r="D14" i="18"/>
  <c r="C14" i="18"/>
  <c r="B14" i="18"/>
  <c r="F13" i="18"/>
  <c r="E13" i="18"/>
  <c r="D13" i="18"/>
  <c r="C13" i="18"/>
  <c r="B13" i="18"/>
  <c r="F12" i="18"/>
  <c r="E12" i="18"/>
  <c r="D12" i="18"/>
  <c r="C12" i="18"/>
  <c r="B12" i="18"/>
  <c r="F11" i="18"/>
  <c r="E11" i="18"/>
  <c r="D11" i="18"/>
  <c r="C11" i="18"/>
  <c r="B11" i="18"/>
  <c r="F10" i="18"/>
  <c r="E10" i="18"/>
  <c r="D10" i="18"/>
  <c r="C10" i="18"/>
  <c r="B10" i="18"/>
  <c r="B9" i="18"/>
  <c r="F9" i="18"/>
  <c r="E9" i="18"/>
  <c r="D9" i="18"/>
  <c r="C9" i="18"/>
  <c r="F8" i="18"/>
  <c r="E8" i="18"/>
  <c r="D8" i="18"/>
  <c r="C8" i="18"/>
  <c r="B8" i="18"/>
  <c r="F7" i="18"/>
  <c r="E7" i="18"/>
  <c r="D7" i="18"/>
  <c r="C7" i="18"/>
  <c r="C6" i="18"/>
  <c r="B7" i="18"/>
  <c r="F6" i="18"/>
  <c r="E6" i="18"/>
  <c r="D6" i="18"/>
  <c r="B6" i="18"/>
  <c r="H41" i="1"/>
  <c r="H41" i="15"/>
</calcChain>
</file>

<file path=xl/connections.xml><?xml version="1.0" encoding="utf-8"?>
<connections xmlns="http://schemas.openxmlformats.org/spreadsheetml/2006/main">
  <connection id="1" sourceFile="C:\Users\nawaz\Downloads\excel-assessment.xlsm" keepAlive="1" name="excel-assessment" type="5" refreshedVersion="0" new="1" background="1">
    <dbPr connection="Provider=Microsoft.ACE.OLEDB.12.0;Password=&quot;&quot;;User ID=Admin;Data Source=C:\Users\nawaz\Downloads\excel-assessment.xlsm;Mode=Share Deny Write;Extended Properties=&quot;HDR=YES;&quot;;Jet OLEDB:System database=&quot;&quot;;Jet OLEDB:Registry Path=&quot;&quot;;Jet OLEDB:Database Password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Dataset$" commandType="3"/>
  </connection>
  <connection id="2" sourceFile="C:\Users\nawaz\Downloads\excel-assessment.xlsm" odcFile="C:\Users\nawaz\Documents\My Data Sources\excel-assessment Dataset$.od.odc" keepAlive="1" name="excel-assessment Dataset$.od" type="5" refreshedVersion="0" new="1" background="1">
    <dbPr connection="Provider=Microsoft.ACE.OLEDB.12.0;Password=&quot;&quot;;User ID=Admin;Data Source=C:\Users\nawaz\Downloads\excel-assessment.xlsm;Mode=Share Deny Write;Extended Properties=&quot;HDR=YES;&quot;;Jet OLEDB:System database=&quot;&quot;;Jet OLEDB:Registry Path=&quot;&quot;;Jet OLEDB:Database Password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Dataset$" commandType="3"/>
  </connection>
</connections>
</file>

<file path=xl/sharedStrings.xml><?xml version="1.0" encoding="utf-8"?>
<sst xmlns="http://schemas.openxmlformats.org/spreadsheetml/2006/main" count="414" uniqueCount="185">
  <si>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</si>
  <si>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</si>
  <si>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</si>
  <si>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</si>
  <si>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</si>
  <si>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</si>
  <si>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</si>
  <si>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</si>
  <si>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</si>
  <si>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</si>
  <si>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</si>
  <si>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</si>
  <si>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</si>
  <si>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</si>
  <si>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</si>
  <si>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</si>
  <si>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</si>
  <si>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</si>
  <si>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</si>
  <si>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</si>
  <si>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</si>
  <si>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</si>
  <si>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</si>
  <si>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</si>
  <si>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</si>
  <si>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</si>
  <si>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</si>
  <si>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</si>
  <si>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</si>
  <si>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</si>
  <si>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</si>
  <si>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</si>
  <si>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</si>
  <si>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</si>
  <si>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</si>
  <si>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</si>
  <si>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</si>
  <si>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</si>
  <si>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</si>
  <si>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</si>
  <si>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</si>
  <si>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</si>
  <si>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</si>
  <si>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</si>
  <si>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</si>
  <si>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</si>
  <si>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</si>
  <si>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</si>
  <si>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</si>
  <si>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</si>
  <si>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</si>
  <si>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</si>
  <si>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</si>
  <si>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</si>
  <si>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</si>
  <si>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</si>
  <si>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</si>
  <si>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</si>
  <si>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</si>
  <si>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</si>
  <si>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</si>
  <si>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</si>
  <si>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</si>
  <si>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</si>
  <si>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</si>
  <si>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</si>
  <si>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</si>
  <si>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</si>
  <si>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</si>
  <si>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</si>
  <si>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</si>
  <si>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</si>
  <si>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</si>
  <si>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</si>
  <si>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</si>
  <si>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</si>
  <si>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</si>
  <si>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</si>
  <si>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</si>
  <si>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</si>
  <si>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</si>
  <si>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</si>
  <si>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</si>
  <si>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</si>
  <si>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</si>
  <si>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</si>
  <si>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</si>
  <si>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</si>
  <si>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</si>
  <si>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</si>
  <si>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</si>
  <si>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</si>
  <si>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</si>
  <si>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</si>
  <si>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</si>
  <si>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</si>
  <si>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</si>
  <si>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</si>
  <si>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</si>
  <si>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</si>
  <si>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</si>
  <si>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</si>
  <si>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</si>
  <si>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</si>
  <si>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</si>
  <si>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</si>
  <si>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</si>
  <si>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</si>
  <si>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</si>
  <si>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</si>
  <si>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</si>
  <si>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</si>
  <si>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</si>
  <si>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</si>
  <si>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</si>
  <si>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</si>
  <si>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</si>
  <si>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</si>
  <si>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</si>
  <si>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</si>
  <si>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</si>
  <si>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</si>
  <si>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</si>
  <si>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</si>
  <si>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</si>
  <si>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</si>
  <si>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</si>
  <si>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</si>
  <si>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</si>
  <si>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</si>
  <si>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</si>
  <si>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</si>
  <si>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</si>
  <si>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</si>
  <si>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</si>
  <si>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</si>
  <si>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</si>
  <si>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</si>
  <si>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</si>
  <si>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</si>
  <si>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</si>
  <si>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</si>
  <si>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</si>
  <si>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</si>
  <si>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</si>
  <si>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</si>
  <si>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</si>
  <si>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</si>
  <si>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</si>
  <si>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</si>
  <si>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</si>
  <si>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</si>
  <si>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</si>
  <si>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</si>
  <si>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</si>
  <si>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</si>
  <si>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</si>
  <si>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</si>
  <si>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</si>
  <si>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</si>
  <si>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</si>
  <si>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</si>
  <si>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</si>
  <si>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</si>
  <si>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</si>
  <si>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</si>
  <si>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</si>
  <si>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</si>
  <si>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</si>
  <si>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</si>
  <si>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</si>
  <si>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</si>
  <si>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</si>
  <si>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</si>
  <si>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</si>
  <si>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</si>
  <si>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</si>
  <si>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Freezing top row is done</t>
  </si>
  <si>
    <t>Formate is in YYYY-MM-DD done</t>
  </si>
  <si>
    <t>=SUM(IF(ISNUMBER(B2:B100)</t>
  </si>
  <si>
    <t>B2:B100</t>
  </si>
  <si>
    <t>20))</t>
  </si>
  <si>
    <t>using an array formula</t>
  </si>
  <si>
    <t>20000-Monday--Sunday-24</t>
  </si>
  <si>
    <t>text to column method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</si>
</sst>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hh:mm:ss;@"/>
    <numFmt numFmtId="165" formatCode="yyyy\-mm\-dd;@"/>
    <numFmt numFmtId="166" formatCode="yyyy/mm/dd"/>
  </numFmts>
  <fonts count="20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111827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9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6" fillId="0" borderId="0">
      <alignment vertical="top" wrapText="1"/>
    </xf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9">
    <xf numFmtId="0" fontId="0" fillId="0" borderId="0" xfId="0"/>
    <xf numFmtId="0" fontId="4" fillId="0" borderId="0" xfId="0" applyFont="1"/>
    <xf numFmtId="0" fontId="9" fillId="0" borderId="0" xfId="0" applyFont="1"/>
    <xf numFmtId="0" fontId="8" fillId="0" borderId="0" xfId="0" applyFont="1"/>
    <xf numFmtId="0" fontId="12" fillId="4" borderId="0" xfId="0" applyFont="1" applyFill="1"/>
    <xf numFmtId="0" fontId="7" fillId="0" borderId="0" xfId="0" applyFont="1"/>
    <xf numFmtId="0" fontId="5" fillId="0" borderId="0" xfId="0" applyFont="1" applyAlignment="1">
      <alignment horizontal="center"/>
    </xf>
    <xf numFmtId="0" fontId="4" fillId="0" borderId="2" xfId="0" applyFont="1" applyBorder="1"/>
    <xf numFmtId="0" fontId="4" fillId="0" borderId="3" xfId="0" applyFont="1" applyBorder="1"/>
    <xf numFmtId="0" fontId="4" fillId="0" borderId="4" xfId="0" applyFont="1" applyBorder="1"/>
    <xf numFmtId="0" fontId="4" fillId="0" borderId="5" xfId="0" applyFont="1" applyBorder="1"/>
    <xf numFmtId="0" fontId="4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4" fillId="0" borderId="9" xfId="0" applyFont="1" applyBorder="1"/>
    <xf numFmtId="0" fontId="4" fillId="0" borderId="10" xfId="0" applyFont="1" applyBorder="1"/>
    <xf numFmtId="0" fontId="4" fillId="0" borderId="1" xfId="0" applyFont="1" applyBorder="1"/>
    <xf numFmtId="0" fontId="13" fillId="0" borderId="0" xfId="1" applyFont="1"/>
    <xf numFmtId="0" fontId="8" fillId="0" borderId="1" xfId="0" applyFont="1" applyBorder="1"/>
    <xf numFmtId="0" fontId="8" fillId="0" borderId="8" xfId="0" applyFont="1" applyBorder="1"/>
    <xf numFmtId="0" fontId="8" fillId="2" borderId="1" xfId="0" applyFont="1" applyFill="1" applyBorder="1"/>
    <xf numFmtId="0" fontId="8" fillId="3" borderId="1" xfId="0" applyFont="1" applyFill="1" applyBorder="1"/>
    <xf numFmtId="0" fontId="8" fillId="2" borderId="10" xfId="0" applyFont="1" applyFill="1" applyBorder="1"/>
    <xf numFmtId="164" fontId="4" fillId="0" borderId="0" xfId="0" applyNumberFormat="1" applyFont="1"/>
    <xf numFmtId="0" fontId="9" fillId="0" borderId="1" xfId="0" applyFont="1" applyBorder="1"/>
    <xf numFmtId="0" fontId="10" fillId="0" borderId="1" xfId="0" applyFont="1" applyBorder="1"/>
    <xf numFmtId="0" fontId="5" fillId="0" borderId="0" xfId="0" applyFont="1"/>
    <xf numFmtId="164" fontId="5" fillId="0" borderId="0" xfId="0" applyNumberFormat="1" applyFont="1"/>
    <xf numFmtId="0" fontId="8" fillId="2" borderId="0" xfId="0" applyFont="1" applyFill="1"/>
    <xf numFmtId="0" fontId="8" fillId="3" borderId="0" xfId="0" applyFont="1" applyFill="1"/>
    <xf numFmtId="0" fontId="4" fillId="5" borderId="1" xfId="0" applyFont="1" applyFill="1" applyBorder="1"/>
    <xf numFmtId="165" fontId="4" fillId="0" borderId="1" xfId="0" applyNumberFormat="1" applyFont="1" applyBorder="1"/>
    <xf numFmtId="0" fontId="8" fillId="0" borderId="1" xfId="0" applyFont="1" applyBorder="1" applyAlignment="1">
      <alignment vertical="center"/>
    </xf>
    <xf numFmtId="0" fontId="15" fillId="0" borderId="0" xfId="0" applyFont="1"/>
    <xf numFmtId="0" fontId="9" fillId="0" borderId="2" xfId="0" applyFont="1" applyBorder="1"/>
    <xf numFmtId="0" fontId="10" fillId="0" borderId="8" xfId="0" applyFont="1" applyBorder="1"/>
    <xf numFmtId="0" fontId="9" fillId="0" borderId="6" xfId="0" applyFont="1" applyBorder="1"/>
    <xf numFmtId="0" fontId="9" fillId="0" borderId="8" xfId="0" applyFont="1" applyBorder="1"/>
    <xf numFmtId="0" fontId="14" fillId="0" borderId="1" xfId="0" applyFont="1" applyBorder="1"/>
    <xf numFmtId="0" fontId="16" fillId="0" borderId="0" xfId="0" applyFont="1"/>
    <xf numFmtId="0" fontId="17" fillId="0" borderId="0" xfId="0" applyFont="1"/>
    <xf numFmtId="0" fontId="18" fillId="4" borderId="0" xfId="1" applyFont="1" applyFill="1" applyAlignment="1">
      <alignment horizontal="center"/>
    </xf>
    <xf numFmtId="0" fontId="14" fillId="0" borderId="0" xfId="0" applyFont="1"/>
    <xf numFmtId="0" fontId="9" fillId="0" borderId="3" xfId="0" applyFont="1" applyBorder="1"/>
    <xf numFmtId="166" fontId="8" fillId="0" borderId="0" xfId="0" applyNumberFormat="1" applyFont="1"/>
    <xf numFmtId="166" fontId="4" fillId="0" borderId="0" xfId="0" applyNumberFormat="1" applyFont="1"/>
    <xf numFmtId="0" fontId="3" fillId="0" borderId="1" xfId="0" applyFont="1" applyBorder="1"/>
    <xf numFmtId="0" fontId="19" fillId="0" borderId="0" xfId="0" applyFont="1"/>
    <xf numFmtId="0" fontId="4" fillId="0" borderId="0" xfId="6" applyFont="1"/>
  </cellXfs>
  <cellStyles count="19">
    <cellStyle name="Normal" xfId="0" builtinId="0"/>
    <cellStyle name="Normal 2" xfId="1"/>
    <cellStyle name="Normal 2 2" xfId="3"/>
    <cellStyle name="Normal 2 2 2" xfId="13"/>
    <cellStyle name="Normal 2 3" xfId="7"/>
    <cellStyle name="Normal 2 3 2" xfId="16"/>
    <cellStyle name="Normal 2 4" xfId="11"/>
    <cellStyle name="Normal 3" xfId="2"/>
    <cellStyle name="Normal 3 2" xfId="8"/>
    <cellStyle name="Normal 3 2 2" xfId="17"/>
    <cellStyle name="Normal 3 3" xfId="12"/>
    <cellStyle name="Normal 4" xfId="4"/>
    <cellStyle name="Normal 4 2" xfId="14"/>
    <cellStyle name="Normal 5" xfId="5"/>
    <cellStyle name="Normal 5 2" xfId="6"/>
    <cellStyle name="Normal 5 3" xfId="10"/>
    <cellStyle name="Normal 5 3 2" xfId="18"/>
    <cellStyle name="Normal 5 4" xfId="15"/>
    <cellStyle name="Normal 7" xfId="9"/>
  </cellStyles>
  <dxfs count="25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4"/>
      <tableStyleElement type="headerRow" dxfId="2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8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5" t="s">
        <v>171</v>
      </c>
      <c r="B9" s="25" t="s">
        <v>169</v>
      </c>
    </row>
    <row r="10" spans="1:3" x14ac:dyDescent="0.2">
      <c r="A10" s="34" t="s">
        <v>172</v>
      </c>
      <c r="B10" s="36">
        <v>25</v>
      </c>
    </row>
    <row r="11" spans="1:3" x14ac:dyDescent="0.2">
      <c r="A11" s="34" t="s">
        <v>55</v>
      </c>
      <c r="B11" s="36">
        <v>30</v>
      </c>
    </row>
    <row r="12" spans="1:3" x14ac:dyDescent="0.2">
      <c r="A12" s="34" t="s">
        <v>56</v>
      </c>
      <c r="B12" s="36">
        <v>10</v>
      </c>
    </row>
    <row r="13" spans="1:3" x14ac:dyDescent="0.2">
      <c r="A13" s="34" t="s">
        <v>85</v>
      </c>
      <c r="B13" s="36">
        <v>20</v>
      </c>
    </row>
    <row r="14" spans="1:3" x14ac:dyDescent="0.2">
      <c r="A14" s="34" t="s">
        <v>98</v>
      </c>
      <c r="B14" s="36">
        <v>40</v>
      </c>
    </row>
    <row r="15" spans="1:3" x14ac:dyDescent="0.2">
      <c r="A15" s="37" t="s">
        <v>170</v>
      </c>
      <c r="B15" s="24">
        <v>125</v>
      </c>
    </row>
  </sheetData>
  <phoneticPr fontId="1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1"/>
  <sheetViews>
    <sheetView tabSelected="1" topLeftCell="N1" zoomScaleNormal="100" workbookViewId="0">
      <pane ySplit="1" topLeftCell="A2" activePane="bottomLeft" state="frozen"/>
      <selection pane="bottomLeft" activeCell="N1" sqref="N1:N1048576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3" customWidth="1"/>
    <col min="5" max="5" width="9.1640625" style="1" bestFit="1" customWidth="1"/>
    <col min="6" max="6" width="10.33203125" style="23" bestFit="1" customWidth="1"/>
    <col min="7" max="9" width="12.83203125" style="1" bestFit="1" customWidth="1"/>
    <col min="10" max="11" width="13" style="1" bestFit="1" customWidth="1"/>
    <col min="12" max="12" width="13.83203125" style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5" bestFit="1" customWidth="1"/>
    <col min="25" max="16384" width="9" style="1"/>
  </cols>
  <sheetData>
    <row r="1" spans="1:24" s="3" customFormat="1" ht="14.85" customHeight="1" x14ac:dyDescent="0.2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4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1" spans="1:24" x14ac:dyDescent="0.25">
      <c r="H41" s="1">
        <f>SUMIF(H2:H40,"&gt;20")</f>
        <v>1473.0000000000002</v>
      </c>
    </row>
  </sheetData>
  <conditionalFormatting sqref="A1:A1048576">
    <cfRule type="duplicateValues" dxfId="22" priority="16"/>
  </conditionalFormatting>
  <conditionalFormatting sqref="B1:B1048576">
    <cfRule type="duplicateValues" dxfId="21" priority="15"/>
  </conditionalFormatting>
  <conditionalFormatting sqref="G1">
    <cfRule type="cellIs" dxfId="20" priority="14" operator="equal">
      <formula>-1</formula>
    </cfRule>
  </conditionalFormatting>
  <conditionalFormatting sqref="G1:G1048576">
    <cfRule type="cellIs" dxfId="19" priority="13" operator="equal">
      <formula>-1</formula>
    </cfRule>
  </conditionalFormatting>
  <conditionalFormatting sqref="H1:H1048576">
    <cfRule type="cellIs" dxfId="18" priority="12" operator="equal">
      <formula>-1</formula>
    </cfRule>
  </conditionalFormatting>
  <conditionalFormatting sqref="I1:I1048576">
    <cfRule type="cellIs" dxfId="17" priority="11" operator="equal">
      <formula>-1</formula>
    </cfRule>
  </conditionalFormatting>
  <conditionalFormatting sqref="J1:J1048576">
    <cfRule type="cellIs" dxfId="16" priority="10" operator="equal">
      <formula>-1</formula>
    </cfRule>
  </conditionalFormatting>
  <conditionalFormatting sqref="K1:K1048576">
    <cfRule type="cellIs" dxfId="15" priority="9" operator="equal">
      <formula>-1</formula>
    </cfRule>
  </conditionalFormatting>
  <conditionalFormatting sqref="L1:L1048576">
    <cfRule type="cellIs" dxfId="14" priority="8" operator="equal">
      <formula>-1</formula>
    </cfRule>
  </conditionalFormatting>
  <conditionalFormatting sqref="M1:M1048576">
    <cfRule type="cellIs" dxfId="11" priority="6" operator="equal">
      <formula>-1</formula>
    </cfRule>
  </conditionalFormatting>
  <conditionalFormatting sqref="N1:N1048576">
    <cfRule type="cellIs" dxfId="10" priority="5" operator="equal">
      <formula>-1</formula>
    </cfRule>
  </conditionalFormatting>
  <conditionalFormatting sqref="O1:O1048576">
    <cfRule type="cellIs" dxfId="9" priority="3" operator="equal">
      <formula>-1</formula>
    </cfRule>
  </conditionalFormatting>
  <conditionalFormatting sqref="M1:W40">
    <cfRule type="cellIs" dxfId="8" priority="2" operator="equal">
      <formula>-1</formula>
    </cfRule>
  </conditionalFormatting>
  <conditionalFormatting sqref="G2:W40">
    <cfRule type="cellIs" dxfId="7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1"/>
  <sheetViews>
    <sheetView zoomScaleNormal="100" workbookViewId="0">
      <selection activeCell="C10" sqref="C10"/>
    </sheetView>
  </sheetViews>
  <sheetFormatPr defaultColWidth="11" defaultRowHeight="15" x14ac:dyDescent="0.25"/>
  <cols>
    <col min="1" max="1" width="8.33203125" style="1" bestFit="1" customWidth="1"/>
    <col min="2" max="2" width="70" style="1" customWidth="1"/>
    <col min="3" max="3" width="32.1640625" style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 t="s">
        <v>177</v>
      </c>
      <c r="E4" s="1">
        <v>5</v>
      </c>
    </row>
    <row r="5" spans="1:5" x14ac:dyDescent="0.25">
      <c r="A5" s="6">
        <v>3</v>
      </c>
      <c r="B5" s="2" t="s">
        <v>104</v>
      </c>
      <c r="C5" s="33">
        <v>1473</v>
      </c>
      <c r="E5" s="1">
        <v>10</v>
      </c>
    </row>
    <row r="6" spans="1:5" x14ac:dyDescent="0.25">
      <c r="A6" s="6">
        <v>4</v>
      </c>
      <c r="B6" s="2" t="s">
        <v>106</v>
      </c>
      <c r="C6" s="2" t="s">
        <v>178</v>
      </c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  <row r="41" spans="8:8" x14ac:dyDescent="0.25">
      <c r="H41" s="1" t="b">
        <f>Task_1!C5=SUMIF(H2:H40,"&gt;20")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topLeftCell="A16" zoomScaleNormal="100" workbookViewId="0">
      <selection activeCell="F30" sqref="F30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0" customFormat="1" ht="21" x14ac:dyDescent="0.35">
      <c r="A1" s="41" t="s">
        <v>55</v>
      </c>
      <c r="B1" s="40" t="s">
        <v>164</v>
      </c>
    </row>
    <row r="2" spans="1:7" s="40" customFormat="1" ht="21" x14ac:dyDescent="0.35">
      <c r="B2" s="40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7" t="s">
        <v>162</v>
      </c>
      <c r="B4" s="1"/>
      <c r="C4" s="1"/>
      <c r="D4" s="1"/>
      <c r="E4" s="1"/>
      <c r="F4" s="1"/>
      <c r="G4" s="1"/>
    </row>
    <row r="5" spans="1:7" ht="15" x14ac:dyDescent="0.2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5" x14ac:dyDescent="0.25">
      <c r="A6" s="7" t="s">
        <v>40</v>
      </c>
      <c r="B6" s="2">
        <f>Dataset!G2</f>
        <v>2.7</v>
      </c>
      <c r="C6" s="11">
        <f>SUM(Dataset!N2)</f>
        <v>7.6</v>
      </c>
      <c r="D6" s="11">
        <f>SUM(Dataset!R2)</f>
        <v>4.2</v>
      </c>
      <c r="E6" s="11">
        <f>SUM(Dataset!T2)</f>
        <v>8.9</v>
      </c>
      <c r="F6" s="8">
        <f>SUM(Dataset!V2)</f>
        <v>4.2</v>
      </c>
    </row>
    <row r="7" spans="1:7" ht="15" x14ac:dyDescent="0.25">
      <c r="A7" s="7" t="s">
        <v>4</v>
      </c>
      <c r="B7" s="2">
        <f>Dataset!G3</f>
        <v>2.7</v>
      </c>
      <c r="C7" s="11">
        <f>SUM(Dataset!N3)</f>
        <v>7.6</v>
      </c>
      <c r="D7" s="11">
        <f>SUM(Dataset!R3)</f>
        <v>4.2</v>
      </c>
      <c r="E7" s="11">
        <f>SUM(Dataset!T3)</f>
        <v>8.9</v>
      </c>
      <c r="F7" s="8">
        <f>SUM(Dataset!V3)</f>
        <v>4.2</v>
      </c>
    </row>
    <row r="8" spans="1:7" ht="15" x14ac:dyDescent="0.25">
      <c r="A8" s="7" t="s">
        <v>7</v>
      </c>
      <c r="B8" s="2">
        <f>Dataset!G4</f>
        <v>3.6</v>
      </c>
      <c r="C8" s="11">
        <f>SUM(Dataset!N4)</f>
        <v>11.1</v>
      </c>
      <c r="D8" s="11">
        <f>SUM(Dataset!R4)</f>
        <v>5.8</v>
      </c>
      <c r="E8" s="11">
        <f>SUM(Dataset!T4)</f>
        <v>12.2</v>
      </c>
      <c r="F8" s="8">
        <f>SUM(Dataset!V4)</f>
        <v>5.8</v>
      </c>
    </row>
    <row r="9" spans="1:7" ht="15" x14ac:dyDescent="0.25">
      <c r="A9" s="7" t="s">
        <v>8</v>
      </c>
      <c r="B9" s="2">
        <f>Dataset!G5</f>
        <v>4.9000000000000004</v>
      </c>
      <c r="C9" s="11">
        <f>SUM(Dataset!N5)</f>
        <v>13.3</v>
      </c>
      <c r="D9" s="11">
        <f>SUM(Dataset!R5)</f>
        <v>8.1</v>
      </c>
      <c r="E9" s="11">
        <f>SUM(Dataset!T5)</f>
        <v>17</v>
      </c>
      <c r="F9" s="8">
        <f>SUM(Dataset!V5)</f>
        <v>8.1</v>
      </c>
    </row>
    <row r="10" spans="1:7" ht="15" x14ac:dyDescent="0.25">
      <c r="A10" s="7" t="s">
        <v>11</v>
      </c>
      <c r="B10" s="2">
        <f>Dataset!G8</f>
        <v>9.4</v>
      </c>
      <c r="C10" s="11">
        <f>SUM(Dataset!N8)</f>
        <v>28.3</v>
      </c>
      <c r="D10" s="11">
        <f>SUM(Dataset!R8)</f>
        <v>16.100000000000001</v>
      </c>
      <c r="E10" s="11">
        <f>SUM(Dataset!T8)</f>
        <v>32.799999999999997</v>
      </c>
      <c r="F10" s="8">
        <f>SUM(Dataset!V8)</f>
        <v>16.100000000000001</v>
      </c>
    </row>
    <row r="11" spans="1:7" ht="15" x14ac:dyDescent="0.25">
      <c r="A11" s="7" t="s">
        <v>12</v>
      </c>
      <c r="B11" s="2">
        <f>Dataset!G9</f>
        <v>11.6</v>
      </c>
      <c r="C11" s="11">
        <f>SUM(Dataset!N9)</f>
        <v>35.200000000000003</v>
      </c>
      <c r="D11" s="11">
        <f>SUM(Dataset!R9)</f>
        <v>21.3</v>
      </c>
      <c r="E11" s="11">
        <f>SUM(Dataset!T9)</f>
        <v>43</v>
      </c>
      <c r="F11" s="8">
        <f>SUM(Dataset!V9)</f>
        <v>21.3</v>
      </c>
    </row>
    <row r="12" spans="1:7" ht="15" x14ac:dyDescent="0.25">
      <c r="A12" s="7" t="s">
        <v>14</v>
      </c>
      <c r="B12" s="2">
        <f>Dataset!G11</f>
        <v>18.399999999999999</v>
      </c>
      <c r="C12" s="11">
        <f>SUM(Dataset!N11)</f>
        <v>55.6</v>
      </c>
      <c r="D12" s="11">
        <f>SUM(Dataset!R11)</f>
        <v>33.799999999999997</v>
      </c>
      <c r="E12" s="11">
        <f>SUM(Dataset!T11)</f>
        <v>67.900000000000006</v>
      </c>
      <c r="F12" s="8">
        <f>SUM(Dataset!V11)</f>
        <v>33.799999999999997</v>
      </c>
    </row>
    <row r="13" spans="1:7" ht="15" x14ac:dyDescent="0.25">
      <c r="A13" s="7" t="s">
        <v>15</v>
      </c>
      <c r="B13" s="2">
        <f>Dataset!G12</f>
        <v>0</v>
      </c>
      <c r="C13" s="11">
        <f>SUM(Dataset!N12)</f>
        <v>0</v>
      </c>
      <c r="D13" s="11">
        <f>SUM(Dataset!R12)</f>
        <v>0</v>
      </c>
      <c r="E13" s="11">
        <f>SUM(Dataset!T12)</f>
        <v>0</v>
      </c>
      <c r="F13" s="8">
        <f>SUM(Dataset!V12)</f>
        <v>0</v>
      </c>
    </row>
    <row r="14" spans="1:7" ht="15" x14ac:dyDescent="0.25">
      <c r="A14" s="7" t="s">
        <v>16</v>
      </c>
      <c r="B14" s="2">
        <f>Dataset!G13</f>
        <v>21.9</v>
      </c>
      <c r="C14" s="11">
        <f>SUM(Dataset!N13)</f>
        <v>61.5</v>
      </c>
      <c r="D14" s="11">
        <f>SUM(Dataset!R13)</f>
        <v>40.1</v>
      </c>
      <c r="E14" s="11">
        <f>SUM(Dataset!T13)</f>
        <v>76.599999999999994</v>
      </c>
      <c r="F14" s="8">
        <f>SUM(Dataset!V13)</f>
        <v>40.1</v>
      </c>
    </row>
    <row r="15" spans="1:7" ht="15" x14ac:dyDescent="0.25">
      <c r="A15" s="7" t="s">
        <v>18</v>
      </c>
      <c r="B15" s="2">
        <f>Dataset!G15</f>
        <v>26.8</v>
      </c>
      <c r="C15" s="11">
        <f>SUM(Dataset!N15)</f>
        <v>79.599999999999994</v>
      </c>
      <c r="D15" s="11">
        <f>SUM(Dataset!R15)</f>
        <v>47.9</v>
      </c>
      <c r="E15" s="11">
        <f>SUM(Dataset!T15)</f>
        <v>96.8</v>
      </c>
      <c r="F15" s="8">
        <f>SUM(Dataset!V15)</f>
        <v>47.9</v>
      </c>
    </row>
    <row r="16" spans="1:7" ht="15" x14ac:dyDescent="0.25">
      <c r="A16" s="7" t="s">
        <v>20</v>
      </c>
      <c r="B16" s="2">
        <f>Dataset!G17</f>
        <v>28.5</v>
      </c>
      <c r="C16" s="11">
        <f>SUM(Dataset!N17)</f>
        <v>85.4</v>
      </c>
      <c r="D16" s="11">
        <f>SUM(Dataset!R17)</f>
        <v>52.3</v>
      </c>
      <c r="E16" s="11">
        <f>SUM(Dataset!T17)</f>
        <v>106.1</v>
      </c>
      <c r="F16" s="8">
        <f>SUM(Dataset!V17)</f>
        <v>52.3</v>
      </c>
    </row>
    <row r="17" spans="1:6" ht="15" x14ac:dyDescent="0.25">
      <c r="A17" s="7" t="s">
        <v>22</v>
      </c>
      <c r="B17" s="2">
        <f>Dataset!G19</f>
        <v>30.7</v>
      </c>
      <c r="C17" s="11">
        <f>SUM(Dataset!N19)</f>
        <v>92.1</v>
      </c>
      <c r="D17" s="11">
        <f>SUM(Dataset!R19)</f>
        <v>57</v>
      </c>
      <c r="E17" s="11">
        <f>SUM(Dataset!T19)</f>
        <v>115.1</v>
      </c>
      <c r="F17" s="8">
        <f>SUM(Dataset!V19)</f>
        <v>57</v>
      </c>
    </row>
    <row r="18" spans="1:6" ht="15" x14ac:dyDescent="0.25">
      <c r="A18" s="7" t="s">
        <v>23</v>
      </c>
      <c r="B18" s="1">
        <f>Dataset!G20</f>
        <v>33.799999999999997</v>
      </c>
      <c r="C18" s="11">
        <f>SUM(Dataset!N20)</f>
        <v>101.3</v>
      </c>
      <c r="D18" s="11">
        <f>SUM(Dataset!R20)</f>
        <v>61.4</v>
      </c>
      <c r="E18" s="11">
        <f>SUM(Dataset!T20)</f>
        <v>124.4</v>
      </c>
      <c r="F18" s="8">
        <f>SUM(Dataset!V20)</f>
        <v>61.4</v>
      </c>
    </row>
    <row r="19" spans="1:6" ht="15" x14ac:dyDescent="0.25">
      <c r="A19" s="7" t="s">
        <v>24</v>
      </c>
      <c r="B19" s="1">
        <f>Dataset!G21</f>
        <v>34.700000000000003</v>
      </c>
      <c r="C19" s="11">
        <f>SUM(Dataset!N21)</f>
        <v>106.1</v>
      </c>
      <c r="D19" s="11">
        <f>SUM(Dataset!R21)</f>
        <v>63.6</v>
      </c>
      <c r="E19" s="11">
        <f>SUM(Dataset!T21)</f>
        <v>128.6</v>
      </c>
      <c r="F19" s="8">
        <f>SUM(Dataset!V21)</f>
        <v>63.6</v>
      </c>
    </row>
    <row r="20" spans="1:6" ht="15" x14ac:dyDescent="0.25">
      <c r="A20" s="7" t="s">
        <v>28</v>
      </c>
      <c r="B20" s="2">
        <f>Dataset!G26</f>
        <v>0</v>
      </c>
      <c r="C20" s="11">
        <f>SUM(Dataset!N26)</f>
        <v>0</v>
      </c>
      <c r="D20" s="11">
        <f>SUM(Dataset!R26)</f>
        <v>0</v>
      </c>
      <c r="E20" s="11">
        <f>SUM(Dataset!T26)</f>
        <v>0</v>
      </c>
      <c r="F20" s="8">
        <f>SUM(Dataset!V26)</f>
        <v>0</v>
      </c>
    </row>
    <row r="21" spans="1:6" ht="15" x14ac:dyDescent="0.25">
      <c r="A21" s="7" t="s">
        <v>57</v>
      </c>
      <c r="B21" s="2">
        <f>Dataset!G27</f>
        <v>41.3</v>
      </c>
      <c r="C21" s="11">
        <f>SUM(Dataset!N27)</f>
        <v>124.4</v>
      </c>
      <c r="D21" s="11">
        <f>SUM(Dataset!R27)</f>
        <v>75</v>
      </c>
      <c r="E21" s="11">
        <f>SUM(Dataset!T27)</f>
        <v>151.5</v>
      </c>
      <c r="F21" s="8">
        <f>SUM(Dataset!V27)</f>
        <v>75</v>
      </c>
    </row>
    <row r="22" spans="1:6" ht="15" x14ac:dyDescent="0.25">
      <c r="A22" s="7" t="s">
        <v>58</v>
      </c>
      <c r="B22" s="2">
        <f>Dataset!G30</f>
        <v>-1</v>
      </c>
      <c r="C22" s="11">
        <f>SUM(Dataset!N30)</f>
        <v>-1</v>
      </c>
      <c r="D22" s="11">
        <f>SUM(Dataset!R30)</f>
        <v>-1</v>
      </c>
      <c r="E22" s="11">
        <f>SUM(Dataset!T30)</f>
        <v>-1</v>
      </c>
      <c r="F22" s="8">
        <f>SUM(Dataset!V30)</f>
        <v>-1</v>
      </c>
    </row>
    <row r="23" spans="1:6" ht="15" x14ac:dyDescent="0.25">
      <c r="A23" s="7" t="s">
        <v>31</v>
      </c>
      <c r="B23" s="2">
        <f>Dataset!G31</f>
        <v>45</v>
      </c>
      <c r="C23" s="11">
        <f>SUM(Dataset!N31)</f>
        <v>133.4</v>
      </c>
      <c r="D23" s="11">
        <f>SUM(Dataset!R31)</f>
        <v>79.400000000000006</v>
      </c>
      <c r="E23" s="11">
        <f>SUM(Dataset!T31)</f>
        <v>160.9</v>
      </c>
      <c r="F23" s="8">
        <f>SUM(Dataset!V31)</f>
        <v>79.400000000000006</v>
      </c>
    </row>
    <row r="24" spans="1:6" ht="15" x14ac:dyDescent="0.25">
      <c r="A24" s="7" t="s">
        <v>32</v>
      </c>
      <c r="B24" s="2">
        <f>Dataset!G32</f>
        <v>-1</v>
      </c>
      <c r="C24" s="11">
        <f>SUM(Dataset!N32)</f>
        <v>-1</v>
      </c>
      <c r="D24" s="11">
        <f>SUM(Dataset!R32)</f>
        <v>-1</v>
      </c>
      <c r="E24" s="11">
        <f>SUM(Dataset!T32)</f>
        <v>-1</v>
      </c>
      <c r="F24" s="8">
        <f>SUM(Dataset!V32)</f>
        <v>-1</v>
      </c>
    </row>
    <row r="25" spans="1:6" ht="15" x14ac:dyDescent="0.25">
      <c r="A25" s="7" t="s">
        <v>34</v>
      </c>
      <c r="B25" s="2">
        <f>Dataset!G34</f>
        <v>43.3</v>
      </c>
      <c r="C25" s="11">
        <f>SUM(Dataset!N34)</f>
        <v>128.6</v>
      </c>
      <c r="D25" s="11">
        <f>SUM(Dataset!R34)</f>
        <v>79.400000000000006</v>
      </c>
      <c r="E25" s="11">
        <f>SUM(Dataset!T34)</f>
        <v>160.9</v>
      </c>
      <c r="F25" s="8">
        <f>SUM(Dataset!V34)</f>
        <v>79.400000000000006</v>
      </c>
    </row>
    <row r="26" spans="1:6" ht="15" x14ac:dyDescent="0.25">
      <c r="A26" s="7" t="s">
        <v>37</v>
      </c>
      <c r="B26" s="2">
        <f>Dataset!G38</f>
        <v>49.1</v>
      </c>
      <c r="C26" s="11">
        <f>SUM(Dataset!N38)</f>
        <v>146.80000000000001</v>
      </c>
      <c r="D26" s="11">
        <f>SUM(Dataset!R38)</f>
        <v>90.9</v>
      </c>
      <c r="E26" s="11">
        <f>SUM(Dataset!T38)</f>
        <v>183.5</v>
      </c>
      <c r="F26" s="8">
        <f>SUM(Dataset!V38)</f>
        <v>90.9</v>
      </c>
    </row>
    <row r="27" spans="1:6" ht="15" x14ac:dyDescent="0.25">
      <c r="A27" s="7" t="s">
        <v>39</v>
      </c>
      <c r="B27" s="2">
        <f>Dataset!G40</f>
        <v>51.8</v>
      </c>
      <c r="C27" s="11">
        <f>SUM(Dataset!N40)</f>
        <v>156.4</v>
      </c>
      <c r="D27" s="11">
        <f>SUM(Dataset!R40)</f>
        <v>93.1</v>
      </c>
      <c r="E27" s="11">
        <f>SUM(Dataset!T40)</f>
        <v>188.1</v>
      </c>
      <c r="F27" s="8">
        <f>SUM(Dataset!V40)</f>
        <v>93.1</v>
      </c>
    </row>
    <row r="28" spans="1:6" ht="15" x14ac:dyDescent="0.25">
      <c r="A28" s="18" t="s">
        <v>82</v>
      </c>
      <c r="B28" s="30">
        <f>MIN(B6:B27)</f>
        <v>-1</v>
      </c>
      <c r="C28" s="30">
        <f>MIN(C6:C27)</f>
        <v>-1</v>
      </c>
      <c r="D28" s="30">
        <f>MIN(D6:D27)</f>
        <v>-1</v>
      </c>
      <c r="E28" s="30">
        <f>MIN(E6:E27)</f>
        <v>-1</v>
      </c>
      <c r="F28" s="30">
        <f>MIN(F6:F27)</f>
        <v>-1</v>
      </c>
    </row>
    <row r="29" spans="1:6" ht="15" x14ac:dyDescent="0.25">
      <c r="A29" s="18" t="s">
        <v>83</v>
      </c>
      <c r="B29" s="30">
        <f>MAX(B6:B27)</f>
        <v>51.8</v>
      </c>
      <c r="C29" s="30">
        <f>MAX(C6:C27)</f>
        <v>156.4</v>
      </c>
      <c r="D29" s="30">
        <f>MAX(D6:D27)</f>
        <v>93.1</v>
      </c>
      <c r="E29" s="30">
        <f>MAX(E6:E27)</f>
        <v>188.1</v>
      </c>
      <c r="F29" s="30">
        <f>MAX(F6:F27)</f>
        <v>93.1</v>
      </c>
    </row>
    <row r="30" spans="1:6" ht="15" x14ac:dyDescent="0.25">
      <c r="A30" s="18" t="s">
        <v>84</v>
      </c>
      <c r="B30" s="30">
        <f>AVERAGE(B6:B27)</f>
        <v>20.827272727272728</v>
      </c>
      <c r="C30" s="30">
        <f>AVERAGE(C6:C27)</f>
        <v>62.377272727272725</v>
      </c>
      <c r="D30" s="30">
        <f>AVERAGE(D6:D27)</f>
        <v>37.800000000000004</v>
      </c>
      <c r="E30" s="30">
        <f>AVERAGE(E6:E27)</f>
        <v>76.418181818181822</v>
      </c>
      <c r="F30" s="30">
        <f>AVERAGE(F6:F27)</f>
        <v>37.800000000000004</v>
      </c>
    </row>
  </sheetData>
  <dataConsolidate link="1"/>
  <conditionalFormatting sqref="B18">
    <cfRule type="cellIs" dxfId="6" priority="4" operator="equal">
      <formula>-1</formula>
    </cfRule>
  </conditionalFormatting>
  <conditionalFormatting sqref="B18">
    <cfRule type="cellIs" dxfId="5" priority="3" operator="equal">
      <formula>0</formula>
    </cfRule>
  </conditionalFormatting>
  <conditionalFormatting sqref="B19">
    <cfRule type="cellIs" dxfId="4" priority="2" operator="equal">
      <formula>-1</formula>
    </cfRule>
  </conditionalFormatting>
  <conditionalFormatting sqref="B19">
    <cfRule type="cellIs" dxfId="3" priority="1" operator="equal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topLeftCell="A46" zoomScaleNormal="100" workbookViewId="0">
      <selection activeCell="B54" sqref="B54"/>
    </sheetView>
  </sheetViews>
  <sheetFormatPr defaultColWidth="11" defaultRowHeight="15" x14ac:dyDescent="0.25"/>
  <cols>
    <col min="1" max="1" width="40.83203125" style="1" customWidth="1"/>
    <col min="2" max="2" width="11" style="1" customWidth="1"/>
    <col min="3" max="6" width="11" style="1"/>
    <col min="7" max="7" width="17.6640625" style="1" customWidth="1"/>
    <col min="8" max="16384" width="11" style="1"/>
  </cols>
  <sheetData>
    <row r="1" spans="1:10" s="40" customFormat="1" ht="21" x14ac:dyDescent="0.35">
      <c r="A1" s="41" t="s">
        <v>56</v>
      </c>
      <c r="B1" s="40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2" t="s">
        <v>53</v>
      </c>
      <c r="B5" s="39" t="s">
        <v>184</v>
      </c>
    </row>
    <row r="6" spans="1:10" ht="18.75" x14ac:dyDescent="0.3">
      <c r="A6" s="42" t="s">
        <v>153</v>
      </c>
      <c r="B6" s="39"/>
    </row>
    <row r="7" spans="1:10" ht="18.75" x14ac:dyDescent="0.3">
      <c r="A7" s="42"/>
      <c r="B7" s="39"/>
    </row>
    <row r="9" spans="1:10" ht="23.25" x14ac:dyDescent="0.35">
      <c r="A9" s="17" t="s">
        <v>165</v>
      </c>
      <c r="I9" s="2"/>
      <c r="J9" s="2"/>
    </row>
    <row r="10" spans="1:10" x14ac:dyDescent="0.25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25">
      <c r="A11" s="9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G11" s="47"/>
      <c r="I11" s="2"/>
      <c r="J11" s="2"/>
    </row>
    <row r="14" spans="1:10" ht="23.25" x14ac:dyDescent="0.35">
      <c r="A14" s="17" t="s">
        <v>162</v>
      </c>
    </row>
    <row r="15" spans="1:10" x14ac:dyDescent="0.2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25">
      <c r="A16" s="7" t="s">
        <v>183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25">
      <c r="A17" s="7" t="s">
        <v>122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25">
      <c r="A18" s="7" t="s">
        <v>123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25">
      <c r="A19" s="7" t="s">
        <v>124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25">
      <c r="A20" s="7" t="s">
        <v>125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25">
      <c r="A21" s="7" t="s">
        <v>126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25">
      <c r="A22" s="7" t="s">
        <v>127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25">
      <c r="A23" s="7" t="s">
        <v>128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25">
      <c r="A24" s="7" t="s">
        <v>129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25">
      <c r="A25" s="7" t="s">
        <v>130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25">
      <c r="A26" s="7" t="s">
        <v>131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25">
      <c r="A27" s="7" t="s">
        <v>132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25">
      <c r="A28" s="7" t="s">
        <v>133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25">
      <c r="A29" s="7" t="s">
        <v>134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25">
      <c r="A30" s="7" t="s">
        <v>135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25">
      <c r="A31" s="7" t="s">
        <v>136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25">
      <c r="A32" s="7" t="s">
        <v>137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25">
      <c r="A33" s="7" t="s">
        <v>138</v>
      </c>
      <c r="B33" s="11">
        <v>20034</v>
      </c>
      <c r="C33" s="48" t="s">
        <v>5</v>
      </c>
      <c r="D33" s="11">
        <v>0</v>
      </c>
      <c r="E33" s="1" t="s">
        <v>6</v>
      </c>
      <c r="F33" s="11">
        <v>24</v>
      </c>
    </row>
    <row r="34" spans="1:6" x14ac:dyDescent="0.25">
      <c r="A34" s="7" t="s">
        <v>139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25">
      <c r="A35" s="7" t="s">
        <v>140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25">
      <c r="A36" s="7" t="s">
        <v>141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25">
      <c r="A37" s="7" t="s">
        <v>142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25">
      <c r="A38" s="7" t="s">
        <v>143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25">
      <c r="A39" s="7" t="s">
        <v>144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25">
      <c r="A40" s="7" t="s">
        <v>145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25">
      <c r="A41" s="7" t="s">
        <v>146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25">
      <c r="A42" s="7" t="s">
        <v>147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25">
      <c r="A43" s="7" t="s">
        <v>148</v>
      </c>
      <c r="B43" s="11">
        <v>20054</v>
      </c>
      <c r="C43" s="1" t="s">
        <v>6</v>
      </c>
      <c r="D43" s="11">
        <v>0</v>
      </c>
      <c r="E43" s="1" t="s">
        <v>6</v>
      </c>
      <c r="F43" s="11">
        <v>24</v>
      </c>
    </row>
    <row r="44" spans="1:6" x14ac:dyDescent="0.25">
      <c r="A44" s="7" t="s">
        <v>149</v>
      </c>
      <c r="B44" s="11">
        <v>20056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25">
      <c r="A45" s="7" t="s">
        <v>150</v>
      </c>
      <c r="B45" s="11">
        <v>20058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25">
      <c r="A46" s="7" t="s">
        <v>112</v>
      </c>
      <c r="B46" s="11">
        <v>20060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25">
      <c r="A47" s="7" t="s">
        <v>113</v>
      </c>
      <c r="B47" s="11">
        <v>20062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25">
      <c r="A48" s="7" t="s">
        <v>114</v>
      </c>
      <c r="B48" s="11">
        <v>20064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25">
      <c r="A49" s="7" t="s">
        <v>115</v>
      </c>
      <c r="B49" s="11">
        <v>20066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25">
      <c r="A50" s="7" t="s">
        <v>116</v>
      </c>
      <c r="B50" s="11">
        <v>20068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25">
      <c r="A51" s="7" t="s">
        <v>117</v>
      </c>
      <c r="B51" s="11">
        <v>20070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25">
      <c r="A52" s="7" t="s">
        <v>118</v>
      </c>
      <c r="B52" s="11">
        <v>20072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25">
      <c r="A53" s="7" t="s">
        <v>119</v>
      </c>
      <c r="B53" s="11">
        <v>20074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25">
      <c r="A54" s="9" t="s">
        <v>120</v>
      </c>
      <c r="B54" s="11">
        <v>20076</v>
      </c>
      <c r="C54" s="1" t="s">
        <v>5</v>
      </c>
      <c r="D54" s="11">
        <v>0</v>
      </c>
      <c r="E54" s="1" t="s">
        <v>6</v>
      </c>
      <c r="F54" s="11">
        <v>24</v>
      </c>
    </row>
  </sheetData>
  <phoneticPr fontId="1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2"/>
  <sheetViews>
    <sheetView topLeftCell="A7" zoomScaleNormal="100" workbookViewId="0">
      <selection activeCell="C23" sqref="C23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4" ht="21" x14ac:dyDescent="0.35">
      <c r="A1" s="41" t="s">
        <v>85</v>
      </c>
      <c r="B1" s="40" t="s">
        <v>167</v>
      </c>
    </row>
    <row r="2" spans="1:4" ht="18.75" x14ac:dyDescent="0.3">
      <c r="B2" s="39" t="s">
        <v>166</v>
      </c>
    </row>
    <row r="5" spans="1:4" ht="15" x14ac:dyDescent="0.25">
      <c r="B5" s="1" t="s">
        <v>151</v>
      </c>
    </row>
    <row r="6" spans="1:4" ht="15" x14ac:dyDescent="0.25">
      <c r="A6" s="3" t="s">
        <v>53</v>
      </c>
      <c r="B6" s="1" t="s">
        <v>179</v>
      </c>
      <c r="C6" s="2" t="s">
        <v>180</v>
      </c>
      <c r="D6" s="2" t="s">
        <v>181</v>
      </c>
    </row>
    <row r="7" spans="1:4" ht="15" x14ac:dyDescent="0.25">
      <c r="A7" s="3" t="s">
        <v>153</v>
      </c>
      <c r="B7" s="1" t="s">
        <v>182</v>
      </c>
    </row>
    <row r="10" spans="1:4" ht="23.25" x14ac:dyDescent="0.35">
      <c r="A10" s="17" t="s">
        <v>162</v>
      </c>
    </row>
    <row r="11" spans="1:4" ht="15" x14ac:dyDescent="0.25">
      <c r="A11" s="31" t="s">
        <v>86</v>
      </c>
      <c r="B11" s="16" t="s">
        <v>87</v>
      </c>
      <c r="C11" s="16" t="s">
        <v>88</v>
      </c>
    </row>
    <row r="12" spans="1:4" ht="15" x14ac:dyDescent="0.25">
      <c r="A12" s="31">
        <v>44927</v>
      </c>
      <c r="B12" s="16" t="s">
        <v>59</v>
      </c>
      <c r="C12" s="16">
        <v>200</v>
      </c>
    </row>
    <row r="13" spans="1:4" ht="15" x14ac:dyDescent="0.25">
      <c r="A13" s="31">
        <v>44928</v>
      </c>
      <c r="B13" s="16" t="s">
        <v>60</v>
      </c>
      <c r="C13" s="46">
        <f>SUM(IF(ISNUMBER(B2:B100), B2:B100, 20))</f>
        <v>20</v>
      </c>
    </row>
    <row r="14" spans="1:4" ht="15" x14ac:dyDescent="0.25">
      <c r="A14" s="31">
        <v>44929</v>
      </c>
      <c r="B14" s="16" t="s">
        <v>61</v>
      </c>
      <c r="C14" s="16">
        <v>50</v>
      </c>
    </row>
    <row r="15" spans="1:4" ht="15" x14ac:dyDescent="0.25">
      <c r="A15" s="31">
        <v>44930</v>
      </c>
      <c r="B15" s="16" t="s">
        <v>62</v>
      </c>
      <c r="C15" s="16">
        <f>SUM(IF(ISNUMBER(B2:B100), B2:B100, 20))</f>
        <v>20</v>
      </c>
    </row>
    <row r="16" spans="1:4" ht="15" x14ac:dyDescent="0.25">
      <c r="A16" s="31">
        <v>44931</v>
      </c>
      <c r="B16" s="16" t="s">
        <v>63</v>
      </c>
      <c r="C16" s="16">
        <v>10</v>
      </c>
    </row>
    <row r="17" spans="1:3" ht="15" x14ac:dyDescent="0.25">
      <c r="A17" s="31">
        <v>44932</v>
      </c>
      <c r="B17" s="16" t="s">
        <v>154</v>
      </c>
      <c r="C17" s="16">
        <v>150</v>
      </c>
    </row>
    <row r="18" spans="1:3" ht="15" x14ac:dyDescent="0.25">
      <c r="A18" s="31">
        <v>44933</v>
      </c>
      <c r="B18" s="16" t="s">
        <v>155</v>
      </c>
      <c r="C18" s="16">
        <v>80</v>
      </c>
    </row>
    <row r="19" spans="1:3" ht="15" x14ac:dyDescent="0.25">
      <c r="A19" s="31">
        <v>44934</v>
      </c>
      <c r="B19" s="16" t="s">
        <v>156</v>
      </c>
      <c r="C19" s="16">
        <f>SUM(IF(ISNUMBER(B2:B100), B2:B100, 20))</f>
        <v>20</v>
      </c>
    </row>
    <row r="20" spans="1:3" ht="15" x14ac:dyDescent="0.25">
      <c r="A20" s="31">
        <v>44935</v>
      </c>
      <c r="B20" s="16" t="s">
        <v>157</v>
      </c>
      <c r="C20" s="16">
        <v>30</v>
      </c>
    </row>
    <row r="21" spans="1:3" ht="15" x14ac:dyDescent="0.25">
      <c r="A21" s="31">
        <v>44936</v>
      </c>
      <c r="B21" s="16" t="s">
        <v>158</v>
      </c>
      <c r="C21" s="16">
        <f>SUM(IF(ISNUMBER(B2:B100), B2:B100, 20))</f>
        <v>20</v>
      </c>
    </row>
    <row r="22" spans="1:3" ht="15" x14ac:dyDescent="0.25">
      <c r="B22" s="16" t="s">
        <v>159</v>
      </c>
      <c r="C22" s="24">
        <f>SUM(C11:C21)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topLeftCell="A16" zoomScaleNormal="100" workbookViewId="0">
      <selection activeCell="C44" sqref="C44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1" t="s">
        <v>98</v>
      </c>
      <c r="B1" s="40" t="s">
        <v>175</v>
      </c>
    </row>
    <row r="3" spans="1:14" ht="15" x14ac:dyDescent="0.25">
      <c r="B3" s="1" t="s">
        <v>151</v>
      </c>
    </row>
    <row r="4" spans="1:14" ht="18.75" x14ac:dyDescent="0.3">
      <c r="A4" s="42" t="s">
        <v>53</v>
      </c>
      <c r="B4" s="1"/>
    </row>
    <row r="5" spans="1:14" ht="18.75" x14ac:dyDescent="0.3">
      <c r="A5" s="42" t="s">
        <v>153</v>
      </c>
      <c r="B5" s="1"/>
    </row>
    <row r="6" spans="1:14" ht="15" x14ac:dyDescent="0.25">
      <c r="A6" s="3"/>
      <c r="B6" s="1"/>
    </row>
    <row r="8" spans="1:14" ht="23.25" x14ac:dyDescent="0.35">
      <c r="A8" s="17" t="s">
        <v>162</v>
      </c>
      <c r="M8" s="17" t="s">
        <v>163</v>
      </c>
    </row>
    <row r="9" spans="1:14" ht="15" x14ac:dyDescent="0.2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5" x14ac:dyDescent="0.2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5" x14ac:dyDescent="0.2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5" x14ac:dyDescent="0.2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5" x14ac:dyDescent="0.2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5" x14ac:dyDescent="0.2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5" x14ac:dyDescent="0.2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5" x14ac:dyDescent="0.2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5" x14ac:dyDescent="0.2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5" x14ac:dyDescent="0.2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25" x14ac:dyDescent="0.35">
      <c r="A21" s="17" t="s">
        <v>168</v>
      </c>
    </row>
    <row r="22" spans="1:14" ht="15" x14ac:dyDescent="0.25">
      <c r="A22" s="13" t="s">
        <v>100</v>
      </c>
      <c r="B22" s="16" t="s">
        <v>101</v>
      </c>
      <c r="C22" s="15" t="s">
        <v>102</v>
      </c>
    </row>
    <row r="23" spans="1:14" ht="15" x14ac:dyDescent="0.25">
      <c r="A23" s="7">
        <v>10100</v>
      </c>
      <c r="B23" s="11">
        <v>10102</v>
      </c>
      <c r="C23" s="24">
        <v>95</v>
      </c>
    </row>
    <row r="24" spans="1:14" ht="15" x14ac:dyDescent="0.25">
      <c r="A24" s="7">
        <v>10100</v>
      </c>
      <c r="B24" s="11">
        <v>10104</v>
      </c>
      <c r="C24" s="24">
        <v>-1</v>
      </c>
    </row>
    <row r="25" spans="1:14" ht="15" x14ac:dyDescent="0.25">
      <c r="A25" s="7">
        <v>10108</v>
      </c>
      <c r="B25" s="11">
        <v>10102</v>
      </c>
      <c r="C25" s="24">
        <v>-1</v>
      </c>
    </row>
    <row r="26" spans="1:14" ht="15" x14ac:dyDescent="0.25">
      <c r="A26" s="7">
        <v>10100</v>
      </c>
      <c r="B26" s="11">
        <v>10106</v>
      </c>
      <c r="C26" s="24">
        <v>-1</v>
      </c>
    </row>
    <row r="27" spans="1:14" ht="15" x14ac:dyDescent="0.25">
      <c r="A27" s="7">
        <v>10108</v>
      </c>
      <c r="B27" s="11">
        <v>10110</v>
      </c>
      <c r="C27" s="24">
        <v>305</v>
      </c>
    </row>
    <row r="28" spans="1:14" ht="15" x14ac:dyDescent="0.25">
      <c r="A28" s="7">
        <v>10102</v>
      </c>
      <c r="B28" s="11">
        <v>10104</v>
      </c>
      <c r="C28" s="24">
        <v>95</v>
      </c>
    </row>
    <row r="29" spans="1:14" ht="15" x14ac:dyDescent="0.25">
      <c r="A29" s="7">
        <v>10106</v>
      </c>
      <c r="B29" s="11">
        <v>10108</v>
      </c>
      <c r="C29" s="24">
        <v>255</v>
      </c>
    </row>
    <row r="30" spans="1:14" ht="15" x14ac:dyDescent="0.25">
      <c r="A30" s="7">
        <v>10102</v>
      </c>
      <c r="B30" s="11">
        <v>10106</v>
      </c>
      <c r="C30" s="24">
        <v>185</v>
      </c>
    </row>
    <row r="31" spans="1:14" ht="15" x14ac:dyDescent="0.25">
      <c r="A31" s="7">
        <v>10110</v>
      </c>
      <c r="B31" s="11">
        <v>10114</v>
      </c>
      <c r="C31" s="24">
        <v>480</v>
      </c>
    </row>
    <row r="32" spans="1:14" ht="15" x14ac:dyDescent="0.25">
      <c r="A32" s="7">
        <v>10104</v>
      </c>
      <c r="B32" s="11">
        <v>10106</v>
      </c>
      <c r="C32" s="24">
        <v>185</v>
      </c>
    </row>
    <row r="33" spans="1:3" ht="15" x14ac:dyDescent="0.25">
      <c r="A33" s="7">
        <v>10110</v>
      </c>
      <c r="B33" s="11">
        <v>10112</v>
      </c>
      <c r="C33" s="24">
        <v>415</v>
      </c>
    </row>
    <row r="34" spans="1:3" ht="15" x14ac:dyDescent="0.25">
      <c r="A34" s="7">
        <v>10100</v>
      </c>
      <c r="B34" s="11">
        <v>10114</v>
      </c>
      <c r="C34" s="24">
        <v>480</v>
      </c>
    </row>
    <row r="35" spans="1:3" ht="15" x14ac:dyDescent="0.25">
      <c r="A35" s="9">
        <v>10112</v>
      </c>
      <c r="B35" s="12">
        <v>10116</v>
      </c>
      <c r="C35" s="43">
        <v>525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Nawaz Ali</cp:lastModifiedBy>
  <dcterms:created xsi:type="dcterms:W3CDTF">2015-02-10T17:33:11Z</dcterms:created>
  <dcterms:modified xsi:type="dcterms:W3CDTF">2023-12-11T23:51:41Z</dcterms:modified>
</cp:coreProperties>
</file>